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11827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1" customWidth="1" min="11" max="11"/>
    <col width="12" customWidth="1" min="12" max="12"/>
    <col width="12" customWidth="1" min="13" max="13"/>
    <col width="30" customWidth="1" min="14" max="14"/>
  </cols>
  <sheetData>
    <row r="1">
      <c r="A1" s="1" t="inlineStr">
        <is>
          <t>Date</t>
        </is>
      </c>
      <c r="B1" s="1" t="inlineStr">
        <is>
          <t>Pair/Asset</t>
        </is>
      </c>
      <c r="C1" s="1" t="inlineStr">
        <is>
          <t>Direction</t>
        </is>
      </c>
      <c r="D1" s="1" t="inlineStr">
        <is>
          <t>Session</t>
        </is>
      </c>
      <c r="E1" s="1" t="inlineStr">
        <is>
          <t>Setup</t>
        </is>
      </c>
      <c r="F1" s="1" t="inlineStr">
        <is>
          <t>Entry</t>
        </is>
      </c>
      <c r="G1" s="1" t="inlineStr">
        <is>
          <t>Stop</t>
        </is>
      </c>
      <c r="H1" s="1" t="inlineStr">
        <is>
          <t>Target</t>
        </is>
      </c>
      <c r="I1" s="1" t="inlineStr">
        <is>
          <t>Lots/Size</t>
        </is>
      </c>
      <c r="J1" s="1" t="inlineStr">
        <is>
          <t>Risk %</t>
        </is>
      </c>
      <c r="K1" s="1" t="inlineStr">
        <is>
          <t>Result (R)</t>
        </is>
      </c>
      <c r="L1" s="1" t="inlineStr">
        <is>
          <t>P/L</t>
        </is>
      </c>
      <c r="M1" s="1" t="inlineStr">
        <is>
          <t>Outcome</t>
        </is>
      </c>
      <c r="N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dataValidations count="4">
    <dataValidation sqref="C2:C1000" showDropDown="0" showInputMessage="0" showErrorMessage="0" allowBlank="1" type="list">
      <formula1>"Long,Short"</formula1>
    </dataValidation>
    <dataValidation sqref="M2:M1000" showDropDown="0" showInputMessage="0" showErrorMessage="0" allowBlank="1" type="list">
      <formula1>"Win,Loss,Break-even"</formula1>
    </dataValidation>
    <dataValidation sqref="D2:D1000" showDropDown="0" showInputMessage="0" showErrorMessage="0" allowBlank="1" type="list">
      <formula1>"London,New York,Asia,Other"</formula1>
    </dataValidation>
    <dataValidation sqref="E2:E1000" showDropDown="0" showInputMessage="0" showErrorMessage="0" allowBlank="1" type="list">
      <formula1>"FVG,BOS,CHoCH,Liquidity Sweep,Kill Zone"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3" t="inlineStr">
        <is>
          <t>FlowEdge — Performance Dashboard</t>
        </is>
      </c>
      <c r="B1" s="4" t="n"/>
    </row>
    <row r="3">
      <c r="A3" s="5" t="inlineStr">
        <is>
          <t>Total trades</t>
        </is>
      </c>
      <c r="B3" s="6">
        <f>COUNTA(Trades!A2:A1000)</f>
        <v/>
      </c>
    </row>
    <row r="4">
      <c r="A4" s="5" t="inlineStr">
        <is>
          <t>Wins</t>
        </is>
      </c>
      <c r="B4" s="6">
        <f>COUNTIF(Trades!M2:M1000,"Win")</f>
        <v/>
      </c>
    </row>
    <row r="5">
      <c r="A5" s="5" t="inlineStr">
        <is>
          <t>Losses</t>
        </is>
      </c>
      <c r="B5" s="6">
        <f>COUNTIF(Trades!M2:M1000,"Loss")</f>
        <v/>
      </c>
    </row>
    <row r="6">
      <c r="A6" s="5" t="inlineStr">
        <is>
          <t>Break-even</t>
        </is>
      </c>
      <c r="B6" s="6">
        <f>COUNTIF(Trades!M2:M1000,"Break-even")</f>
        <v/>
      </c>
    </row>
    <row r="7">
      <c r="A7" s="5" t="inlineStr">
        <is>
          <t>Win rate</t>
        </is>
      </c>
      <c r="B7" s="7">
        <f>IFERROR(B3/(B3+B4),0)</f>
        <v/>
      </c>
    </row>
    <row r="8">
      <c r="A8" s="5" t="inlineStr">
        <is>
          <t>Total R</t>
        </is>
      </c>
      <c r="B8" s="6">
        <f>SUM(Trades!K2:K1000)</f>
        <v/>
      </c>
    </row>
    <row r="9">
      <c r="A9" s="5" t="inlineStr">
        <is>
          <t>Average R</t>
        </is>
      </c>
      <c r="B9" s="6">
        <f>IFERROR(AVERAGE(Trades!K2:K1000),0)</f>
        <v/>
      </c>
    </row>
    <row r="10">
      <c r="A10" s="5" t="inlineStr">
        <is>
          <t>Net P/L</t>
        </is>
      </c>
      <c r="B10" s="6">
        <f>SUM(Trades!L2:L1000)</f>
        <v/>
      </c>
    </row>
    <row r="11">
      <c r="A11" s="5" t="inlineStr">
        <is>
          <t>Best trade (P/L)</t>
        </is>
      </c>
      <c r="B11" s="6">
        <f>IFERROR(MAX(Trades!L2:L1000),0)</f>
        <v/>
      </c>
    </row>
    <row r="12">
      <c r="A12" s="5" t="inlineStr">
        <is>
          <t>Worst trade (P/L)</t>
        </is>
      </c>
      <c r="B12" s="6">
        <f>IFERROR(MIN(Trades!L2:L1000),0)</f>
        <v/>
      </c>
    </row>
    <row r="13">
      <c r="A13" s="5" t="inlineStr">
        <is>
          <t>Expectancy (R/trade)</t>
        </is>
      </c>
      <c r="B13" s="6">
        <f>IFERROR(AVERAGE(Trades!K2:K1000),0)</f>
        <v/>
      </c>
    </row>
    <row r="15">
      <c r="A15" s="8" t="inlineStr">
        <is>
          <t>Performance by Setup</t>
        </is>
      </c>
    </row>
    <row r="16">
      <c r="A16" s="9" t="inlineStr">
        <is>
          <t>Setup</t>
        </is>
      </c>
      <c r="B16" s="9" t="inlineStr">
        <is>
          <t>Total R</t>
        </is>
      </c>
    </row>
    <row r="17">
      <c r="A17" s="2" t="inlineStr">
        <is>
          <t>FVG</t>
        </is>
      </c>
      <c r="B17" s="6">
        <f>SUMIF(Trades!E2:E1000,A17,Trades!K2:K1000)</f>
        <v/>
      </c>
    </row>
    <row r="18">
      <c r="A18" s="2" t="inlineStr">
        <is>
          <t>BOS</t>
        </is>
      </c>
      <c r="B18" s="6">
        <f>SUMIF(Trades!E2:E1000,A18,Trades!K2:K1000)</f>
        <v/>
      </c>
    </row>
    <row r="19">
      <c r="A19" s="2" t="inlineStr">
        <is>
          <t>CHoCH</t>
        </is>
      </c>
      <c r="B19" s="6">
        <f>SUMIF(Trades!E2:E1000,A19,Trades!K2:K1000)</f>
        <v/>
      </c>
    </row>
    <row r="20">
      <c r="A20" s="2" t="inlineStr">
        <is>
          <t>Liquidity Sweep</t>
        </is>
      </c>
      <c r="B20" s="6">
        <f>SUMIF(Trades!E2:E1000,A20,Trades!K2:K1000)</f>
        <v/>
      </c>
    </row>
    <row r="21">
      <c r="A21" s="2" t="inlineStr">
        <is>
          <t>Kill Zone</t>
        </is>
      </c>
      <c r="B21" s="6">
        <f>SUMIF(Trades!E2:E1000,A21,Trades!K2:K1000)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2026-06-23T09:44:07Z</dcterms:created>
  <dcterms:modified xsi:type="dcterms:W3CDTF">2026-06-23T09:44:07Z</dcterms:modified>
</cp:coreProperties>
</file>